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A58EDA07-4E79-4B99-A690-59A08762841A}" xr6:coauthVersionLast="47" xr6:coauthVersionMax="47" xr10:uidLastSave="{00000000-0000-0000-0000-000000000000}"/>
  <bookViews>
    <workbookView xWindow="-120" yWindow="-120" windowWidth="20730" windowHeight="11040" xr2:uid="{C054D407-FA31-4A8E-861C-7D5952D56570}"/>
  </bookViews>
  <sheets>
    <sheet name="Sheet1" sheetId="1" r:id="rId1"/>
    <sheet name="Sheet2" sheetId="2" r:id="rId2"/>
  </sheets>
  <definedNames>
    <definedName name="_xlnm.Print_Area" localSheetId="0">Sheet1!$A$1:$I$76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1" l="1"/>
  <c r="F76" i="1"/>
  <c r="D76" i="1"/>
  <c r="E75" i="1"/>
  <c r="F75" i="1"/>
  <c r="D75" i="1"/>
  <c r="E74" i="1"/>
  <c r="F74" i="1"/>
  <c r="D74" i="1"/>
  <c r="F73" i="1"/>
  <c r="F7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E73" i="1"/>
  <c r="E72" i="1"/>
  <c r="D73" i="1"/>
  <c r="D7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</calcChain>
</file>

<file path=xl/sharedStrings.xml><?xml version="1.0" encoding="utf-8"?>
<sst xmlns="http://schemas.openxmlformats.org/spreadsheetml/2006/main" count="83" uniqueCount="83">
  <si>
    <t>julia</t>
  </si>
  <si>
    <t>felix</t>
  </si>
  <si>
    <t>joy</t>
  </si>
  <si>
    <t>linnet</t>
  </si>
  <si>
    <t>sara</t>
  </si>
  <si>
    <t>carl</t>
  </si>
  <si>
    <t>aaron</t>
  </si>
  <si>
    <t>emmanuel</t>
  </si>
  <si>
    <t>dan</t>
  </si>
  <si>
    <t>caleb</t>
  </si>
  <si>
    <t xml:space="preserve"> barrows</t>
  </si>
  <si>
    <t>rose</t>
  </si>
  <si>
    <t>tanisha</t>
  </si>
  <si>
    <t>freddy</t>
  </si>
  <si>
    <t>tre</t>
  </si>
  <si>
    <t>carol</t>
  </si>
  <si>
    <t>eveline</t>
  </si>
  <si>
    <t>joash</t>
  </si>
  <si>
    <t>moses</t>
  </si>
  <si>
    <t>clifford</t>
  </si>
  <si>
    <t>danis</t>
  </si>
  <si>
    <t>rick</t>
  </si>
  <si>
    <t>grimes</t>
  </si>
  <si>
    <t>scofield</t>
  </si>
  <si>
    <t>shanel</t>
  </si>
  <si>
    <t>grace</t>
  </si>
  <si>
    <t>judy</t>
  </si>
  <si>
    <t>mark</t>
  </si>
  <si>
    <t>john</t>
  </si>
  <si>
    <t>luka</t>
  </si>
  <si>
    <t>marko</t>
  </si>
  <si>
    <t>mitchele</t>
  </si>
  <si>
    <t>daniel</t>
  </si>
  <si>
    <t>tom</t>
  </si>
  <si>
    <t>dickson</t>
  </si>
  <si>
    <t>harryson</t>
  </si>
  <si>
    <t>collins</t>
  </si>
  <si>
    <t>ester</t>
  </si>
  <si>
    <t>teopister</t>
  </si>
  <si>
    <t>micheol</t>
  </si>
  <si>
    <t xml:space="preserve">richard </t>
  </si>
  <si>
    <t>affleck</t>
  </si>
  <si>
    <t>victor</t>
  </si>
  <si>
    <t>victoria</t>
  </si>
  <si>
    <t>joseph</t>
  </si>
  <si>
    <t>alvin</t>
  </si>
  <si>
    <t>vincent</t>
  </si>
  <si>
    <t>brian</t>
  </si>
  <si>
    <t>jason</t>
  </si>
  <si>
    <t>carson</t>
  </si>
  <si>
    <t>rita</t>
  </si>
  <si>
    <t>stephanie</t>
  </si>
  <si>
    <t>ian</t>
  </si>
  <si>
    <t>emily</t>
  </si>
  <si>
    <t>ruth</t>
  </si>
  <si>
    <t>harriet</t>
  </si>
  <si>
    <t>stacy</t>
  </si>
  <si>
    <t>jacinta</t>
  </si>
  <si>
    <t>faith</t>
  </si>
  <si>
    <t>william</t>
  </si>
  <si>
    <t>bianca</t>
  </si>
  <si>
    <t>ann</t>
  </si>
  <si>
    <t>gift</t>
  </si>
  <si>
    <t>lion</t>
  </si>
  <si>
    <t>amelia</t>
  </si>
  <si>
    <t>christale</t>
  </si>
  <si>
    <t>gabriel</t>
  </si>
  <si>
    <t>mexy</t>
  </si>
  <si>
    <t>amanda</t>
  </si>
  <si>
    <t>evans</t>
  </si>
  <si>
    <t>employee Id</t>
  </si>
  <si>
    <t>name</t>
  </si>
  <si>
    <t>Hourly wage</t>
  </si>
  <si>
    <t>Hours worked</t>
  </si>
  <si>
    <t>Taxabie income</t>
  </si>
  <si>
    <t>Tatol:</t>
  </si>
  <si>
    <t>Average:</t>
  </si>
  <si>
    <t>Tax to be paid</t>
  </si>
  <si>
    <t>Tax rate</t>
  </si>
  <si>
    <t>Highest:</t>
  </si>
  <si>
    <t>Lowest:</t>
  </si>
  <si>
    <t>Number of employees: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</si>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</sst>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Ksh&quot;* #,##0.00_-;\-&quot;Ksh&quot;* #,##0.00_-;_-&quot;Ksh&quot;* &quot;-&quot;??_-;_-@_-"/>
    <numFmt numFmtId="164" formatCode="&quot;Ksh&quot;#,##0.00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left" indent="2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44" fontId="0" fillId="0" borderId="0" xfId="0" applyNumberFormat="1"/>
    <xf numFmtId="0" fontId="1" fillId="0" borderId="0" xfId="0" applyFont="1"/>
    <xf numFmtId="164" fontId="1" fillId="0" borderId="0" xfId="0" applyNumberFormat="1" applyFont="1"/>
    <xf numFmtId="44" fontId="1" fillId="0" borderId="0" xfId="0" applyNumberFormat="1" applyFon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6C18-3FBE-4D52-AAAF-9A3365199FBD}">
  <dimension ref="A1:I77"/>
  <sheetViews>
    <sheetView tabSelected="1" topLeftCell="A64" zoomScale="96" zoomScaleNormal="96" workbookViewId="0">
      <selection activeCell="I2" sqref="I2"/>
    </sheetView>
  </sheetViews>
  <sheetFormatPr defaultRowHeight="15" x14ac:dyDescent="0.25"/>
  <cols>
    <col min="1" max="2" width="14.140625" customWidth="1"/>
    <col min="3" max="3" width="14.140625" style="3" customWidth="1"/>
    <col min="4" max="4" width="14.140625" customWidth="1"/>
    <col min="5" max="5" width="14.140625" style="5" customWidth="1"/>
    <col min="6" max="6" width="14.140625" customWidth="1"/>
  </cols>
  <sheetData>
    <row r="1" spans="1:9" s="6" customFormat="1" x14ac:dyDescent="0.25">
      <c r="A1" s="6" t="s">
        <v>70</v>
      </c>
      <c r="B1" s="6" t="s">
        <v>71</v>
      </c>
      <c r="C1" s="7" t="s">
        <v>72</v>
      </c>
      <c r="D1" s="6" t="s">
        <v>73</v>
      </c>
      <c r="E1" s="8" t="s">
        <v>74</v>
      </c>
      <c r="F1" s="6" t="s">
        <v>77</v>
      </c>
      <c r="G1" s="6" t="s">
        <v>78</v>
      </c>
      <c r="H1" s="6">
        <v>7.0000000000000007E-2</v>
      </c>
      <c r="I1" s="6" t="s">
        <v>82</v>
      </c>
    </row>
    <row r="2" spans="1:9" x14ac:dyDescent="0.25">
      <c r="A2">
        <v>1</v>
      </c>
      <c r="B2" t="s">
        <v>0</v>
      </c>
      <c r="C2" s="3">
        <v>15.5</v>
      </c>
      <c r="D2">
        <v>160</v>
      </c>
      <c r="E2" s="5">
        <f>C2*D2</f>
        <v>2480</v>
      </c>
      <c r="F2">
        <f>E2*$H$1</f>
        <v>173.60000000000002</v>
      </c>
      <c r="I2" s="9"/>
    </row>
    <row r="3" spans="1:9" x14ac:dyDescent="0.25">
      <c r="A3">
        <v>2</v>
      </c>
      <c r="B3" t="s">
        <v>64</v>
      </c>
      <c r="C3" s="3">
        <v>15.5</v>
      </c>
      <c r="D3">
        <v>189</v>
      </c>
      <c r="E3" s="5">
        <f t="shared" ref="E3:E66" si="0">C3*D3</f>
        <v>2929.5</v>
      </c>
      <c r="F3">
        <f t="shared" ref="F3:F66" si="1">E3*$H$1</f>
        <v>205.06500000000003</v>
      </c>
    </row>
    <row r="4" spans="1:9" x14ac:dyDescent="0.25">
      <c r="A4">
        <v>3</v>
      </c>
      <c r="B4" t="s">
        <v>65</v>
      </c>
      <c r="C4" s="3">
        <v>16</v>
      </c>
      <c r="D4">
        <v>377</v>
      </c>
      <c r="E4" s="5">
        <f t="shared" si="0"/>
        <v>6032</v>
      </c>
      <c r="F4">
        <f t="shared" si="1"/>
        <v>422.24000000000007</v>
      </c>
    </row>
    <row r="5" spans="1:9" x14ac:dyDescent="0.25">
      <c r="A5">
        <v>4</v>
      </c>
      <c r="B5" t="s">
        <v>66</v>
      </c>
      <c r="C5" s="3">
        <v>15.5</v>
      </c>
      <c r="D5">
        <v>156</v>
      </c>
      <c r="E5" s="5">
        <f t="shared" si="0"/>
        <v>2418</v>
      </c>
      <c r="F5">
        <f t="shared" si="1"/>
        <v>169.26000000000002</v>
      </c>
    </row>
    <row r="6" spans="1:9" x14ac:dyDescent="0.25">
      <c r="A6">
        <v>5</v>
      </c>
      <c r="B6" t="s">
        <v>67</v>
      </c>
      <c r="C6" s="3">
        <v>15.5</v>
      </c>
      <c r="D6">
        <v>254</v>
      </c>
      <c r="E6" s="5">
        <f t="shared" si="0"/>
        <v>3937</v>
      </c>
      <c r="F6">
        <f t="shared" si="1"/>
        <v>275.59000000000003</v>
      </c>
    </row>
    <row r="7" spans="1:9" x14ac:dyDescent="0.25">
      <c r="A7">
        <v>6</v>
      </c>
      <c r="B7" t="s">
        <v>68</v>
      </c>
      <c r="C7" s="3">
        <v>18</v>
      </c>
      <c r="D7">
        <v>89</v>
      </c>
      <c r="E7" s="5">
        <f t="shared" si="0"/>
        <v>1602</v>
      </c>
      <c r="F7">
        <f t="shared" si="1"/>
        <v>112.14000000000001</v>
      </c>
    </row>
    <row r="8" spans="1:9" x14ac:dyDescent="0.25">
      <c r="A8">
        <v>7</v>
      </c>
      <c r="B8" t="s">
        <v>69</v>
      </c>
      <c r="C8" s="3">
        <v>17.5</v>
      </c>
      <c r="D8">
        <v>345</v>
      </c>
      <c r="E8" s="5">
        <f t="shared" si="0"/>
        <v>6037.5</v>
      </c>
      <c r="F8">
        <f t="shared" si="1"/>
        <v>422.62500000000006</v>
      </c>
    </row>
    <row r="9" spans="1:9" x14ac:dyDescent="0.25">
      <c r="A9">
        <v>8</v>
      </c>
      <c r="B9" t="s">
        <v>2</v>
      </c>
      <c r="C9" s="3">
        <v>17</v>
      </c>
      <c r="D9">
        <v>17</v>
      </c>
      <c r="E9" s="5">
        <f t="shared" si="0"/>
        <v>289</v>
      </c>
      <c r="F9">
        <f t="shared" si="1"/>
        <v>20.23</v>
      </c>
    </row>
    <row r="10" spans="1:9" x14ac:dyDescent="0.25">
      <c r="A10">
        <v>9</v>
      </c>
      <c r="B10" t="s">
        <v>3</v>
      </c>
      <c r="C10" s="3">
        <v>14.5</v>
      </c>
      <c r="D10">
        <v>19</v>
      </c>
      <c r="E10" s="5">
        <f t="shared" si="0"/>
        <v>275.5</v>
      </c>
      <c r="F10">
        <f t="shared" si="1"/>
        <v>19.285</v>
      </c>
    </row>
    <row r="11" spans="1:9" x14ac:dyDescent="0.25">
      <c r="A11">
        <v>10</v>
      </c>
      <c r="B11" t="s">
        <v>4</v>
      </c>
      <c r="C11" s="3">
        <v>15</v>
      </c>
      <c r="D11">
        <v>156</v>
      </c>
      <c r="E11" s="5">
        <f t="shared" si="0"/>
        <v>2340</v>
      </c>
      <c r="F11">
        <f t="shared" si="1"/>
        <v>163.80000000000001</v>
      </c>
    </row>
    <row r="12" spans="1:9" x14ac:dyDescent="0.25">
      <c r="A12">
        <v>11</v>
      </c>
      <c r="B12" t="s">
        <v>5</v>
      </c>
      <c r="C12" s="3">
        <v>13</v>
      </c>
      <c r="D12">
        <v>56</v>
      </c>
      <c r="E12" s="5">
        <f t="shared" si="0"/>
        <v>728</v>
      </c>
      <c r="F12">
        <f t="shared" si="1"/>
        <v>50.960000000000008</v>
      </c>
    </row>
    <row r="13" spans="1:9" x14ac:dyDescent="0.25">
      <c r="A13">
        <v>12</v>
      </c>
      <c r="B13" t="s">
        <v>6</v>
      </c>
      <c r="C13" s="3">
        <v>13</v>
      </c>
      <c r="D13">
        <v>67</v>
      </c>
      <c r="E13" s="5">
        <f t="shared" si="0"/>
        <v>871</v>
      </c>
      <c r="F13">
        <f t="shared" si="1"/>
        <v>60.970000000000006</v>
      </c>
    </row>
    <row r="14" spans="1:9" x14ac:dyDescent="0.25">
      <c r="A14">
        <v>13</v>
      </c>
      <c r="B14" t="s">
        <v>7</v>
      </c>
      <c r="C14" s="3">
        <v>13.5</v>
      </c>
      <c r="D14">
        <v>68</v>
      </c>
      <c r="E14" s="5">
        <f t="shared" si="0"/>
        <v>918</v>
      </c>
      <c r="F14">
        <f t="shared" si="1"/>
        <v>64.260000000000005</v>
      </c>
    </row>
    <row r="15" spans="1:9" x14ac:dyDescent="0.25">
      <c r="A15">
        <v>14</v>
      </c>
      <c r="B15" t="s">
        <v>8</v>
      </c>
      <c r="C15" s="3">
        <v>15</v>
      </c>
      <c r="D15">
        <v>40</v>
      </c>
      <c r="E15" s="5">
        <f t="shared" si="0"/>
        <v>600</v>
      </c>
      <c r="F15">
        <f t="shared" si="1"/>
        <v>42.000000000000007</v>
      </c>
    </row>
    <row r="16" spans="1:9" x14ac:dyDescent="0.25">
      <c r="A16">
        <v>15</v>
      </c>
      <c r="B16" t="s">
        <v>9</v>
      </c>
      <c r="C16" s="3">
        <v>15.5</v>
      </c>
      <c r="D16">
        <v>39</v>
      </c>
      <c r="E16" s="5">
        <f t="shared" si="0"/>
        <v>604.5</v>
      </c>
      <c r="F16">
        <f t="shared" si="1"/>
        <v>42.315000000000005</v>
      </c>
    </row>
    <row r="17" spans="1:6" x14ac:dyDescent="0.25">
      <c r="A17">
        <v>16</v>
      </c>
      <c r="B17" t="s">
        <v>10</v>
      </c>
      <c r="C17" s="3">
        <v>16.5</v>
      </c>
      <c r="D17">
        <v>27</v>
      </c>
      <c r="E17" s="5">
        <f t="shared" si="0"/>
        <v>445.5</v>
      </c>
      <c r="F17">
        <f t="shared" si="1"/>
        <v>31.185000000000002</v>
      </c>
    </row>
    <row r="18" spans="1:6" x14ac:dyDescent="0.25">
      <c r="A18">
        <v>17</v>
      </c>
      <c r="B18" t="s">
        <v>11</v>
      </c>
      <c r="C18" s="3">
        <v>14</v>
      </c>
      <c r="D18">
        <v>89</v>
      </c>
      <c r="E18" s="5">
        <f t="shared" si="0"/>
        <v>1246</v>
      </c>
      <c r="F18">
        <f t="shared" si="1"/>
        <v>87.220000000000013</v>
      </c>
    </row>
    <row r="19" spans="1:6" x14ac:dyDescent="0.25">
      <c r="A19">
        <v>18</v>
      </c>
      <c r="B19" t="s">
        <v>1</v>
      </c>
      <c r="C19" s="3">
        <v>16</v>
      </c>
      <c r="D19">
        <v>67</v>
      </c>
      <c r="E19" s="5">
        <f t="shared" si="0"/>
        <v>1072</v>
      </c>
      <c r="F19">
        <f t="shared" si="1"/>
        <v>75.040000000000006</v>
      </c>
    </row>
    <row r="20" spans="1:6" x14ac:dyDescent="0.25">
      <c r="A20">
        <v>19</v>
      </c>
      <c r="B20" t="s">
        <v>12</v>
      </c>
      <c r="C20" s="3">
        <v>13.5</v>
      </c>
      <c r="D20">
        <v>156</v>
      </c>
      <c r="E20" s="5">
        <f t="shared" si="0"/>
        <v>2106</v>
      </c>
      <c r="F20">
        <f t="shared" si="1"/>
        <v>147.42000000000002</v>
      </c>
    </row>
    <row r="21" spans="1:6" x14ac:dyDescent="0.25">
      <c r="A21">
        <v>20</v>
      </c>
      <c r="B21" t="s">
        <v>13</v>
      </c>
      <c r="C21" s="3">
        <v>15</v>
      </c>
      <c r="D21">
        <v>177</v>
      </c>
      <c r="E21" s="5">
        <f t="shared" si="0"/>
        <v>2655</v>
      </c>
      <c r="F21">
        <f t="shared" si="1"/>
        <v>185.85000000000002</v>
      </c>
    </row>
    <row r="22" spans="1:6" x14ac:dyDescent="0.25">
      <c r="A22">
        <v>21</v>
      </c>
      <c r="B22" t="s">
        <v>14</v>
      </c>
      <c r="C22" s="3">
        <v>15.5</v>
      </c>
      <c r="D22">
        <v>58</v>
      </c>
      <c r="E22" s="5">
        <f t="shared" si="0"/>
        <v>899</v>
      </c>
      <c r="F22">
        <f t="shared" si="1"/>
        <v>62.930000000000007</v>
      </c>
    </row>
    <row r="23" spans="1:6" x14ac:dyDescent="0.25">
      <c r="A23">
        <v>22</v>
      </c>
      <c r="B23" t="s">
        <v>15</v>
      </c>
      <c r="C23" s="3">
        <v>15.5</v>
      </c>
      <c r="D23">
        <v>48</v>
      </c>
      <c r="E23" s="5">
        <f t="shared" si="0"/>
        <v>744</v>
      </c>
      <c r="F23">
        <f t="shared" si="1"/>
        <v>52.080000000000005</v>
      </c>
    </row>
    <row r="24" spans="1:6" x14ac:dyDescent="0.25">
      <c r="A24">
        <v>23</v>
      </c>
      <c r="B24" t="s">
        <v>16</v>
      </c>
      <c r="C24" s="3">
        <v>15</v>
      </c>
      <c r="D24">
        <v>58</v>
      </c>
      <c r="E24" s="5">
        <f t="shared" si="0"/>
        <v>870</v>
      </c>
      <c r="F24">
        <f t="shared" si="1"/>
        <v>60.900000000000006</v>
      </c>
    </row>
    <row r="25" spans="1:6" x14ac:dyDescent="0.25">
      <c r="A25">
        <v>24</v>
      </c>
      <c r="B25" t="s">
        <v>17</v>
      </c>
      <c r="C25" s="3">
        <v>1</v>
      </c>
      <c r="D25">
        <v>48</v>
      </c>
      <c r="E25" s="5">
        <f t="shared" si="0"/>
        <v>48</v>
      </c>
      <c r="F25">
        <f t="shared" si="1"/>
        <v>3.3600000000000003</v>
      </c>
    </row>
    <row r="26" spans="1:6" x14ac:dyDescent="0.25">
      <c r="A26">
        <v>25</v>
      </c>
      <c r="B26" t="s">
        <v>18</v>
      </c>
      <c r="C26" s="3">
        <v>18.5</v>
      </c>
      <c r="D26">
        <v>34</v>
      </c>
      <c r="E26" s="5">
        <f t="shared" si="0"/>
        <v>629</v>
      </c>
      <c r="F26">
        <f t="shared" si="1"/>
        <v>44.03</v>
      </c>
    </row>
    <row r="27" spans="1:6" x14ac:dyDescent="0.25">
      <c r="A27">
        <v>26</v>
      </c>
      <c r="B27" t="s">
        <v>19</v>
      </c>
      <c r="C27" s="3">
        <v>15.9</v>
      </c>
      <c r="D27">
        <v>86</v>
      </c>
      <c r="E27" s="5">
        <f t="shared" si="0"/>
        <v>1367.4</v>
      </c>
      <c r="F27">
        <f t="shared" si="1"/>
        <v>95.718000000000018</v>
      </c>
    </row>
    <row r="28" spans="1:6" x14ac:dyDescent="0.25">
      <c r="A28">
        <v>27</v>
      </c>
      <c r="B28" t="s">
        <v>20</v>
      </c>
      <c r="C28" s="3">
        <v>10.75</v>
      </c>
      <c r="D28">
        <v>94</v>
      </c>
      <c r="E28" s="5">
        <f t="shared" si="0"/>
        <v>1010.5</v>
      </c>
      <c r="F28">
        <f t="shared" si="1"/>
        <v>70.735000000000014</v>
      </c>
    </row>
    <row r="29" spans="1:6" x14ac:dyDescent="0.25">
      <c r="A29">
        <v>28</v>
      </c>
      <c r="B29" t="s">
        <v>21</v>
      </c>
      <c r="C29" s="3">
        <v>12.9</v>
      </c>
      <c r="D29">
        <v>4</v>
      </c>
      <c r="E29" s="5">
        <f t="shared" si="0"/>
        <v>51.6</v>
      </c>
      <c r="F29">
        <f t="shared" si="1"/>
        <v>3.6120000000000005</v>
      </c>
    </row>
    <row r="30" spans="1:6" x14ac:dyDescent="0.25">
      <c r="A30">
        <v>29</v>
      </c>
      <c r="B30" t="s">
        <v>22</v>
      </c>
      <c r="C30" s="3">
        <v>15.4</v>
      </c>
      <c r="D30">
        <v>57</v>
      </c>
      <c r="E30" s="5">
        <f t="shared" si="0"/>
        <v>877.80000000000007</v>
      </c>
      <c r="F30">
        <f t="shared" si="1"/>
        <v>61.446000000000012</v>
      </c>
    </row>
    <row r="31" spans="1:6" x14ac:dyDescent="0.25">
      <c r="A31">
        <v>30</v>
      </c>
      <c r="B31" t="s">
        <v>23</v>
      </c>
      <c r="C31" s="3">
        <v>15</v>
      </c>
      <c r="D31">
        <v>45</v>
      </c>
      <c r="E31" s="5">
        <f t="shared" si="0"/>
        <v>675</v>
      </c>
      <c r="F31">
        <f t="shared" si="1"/>
        <v>47.250000000000007</v>
      </c>
    </row>
    <row r="32" spans="1:6" x14ac:dyDescent="0.25">
      <c r="A32">
        <v>31</v>
      </c>
      <c r="B32" t="s">
        <v>24</v>
      </c>
      <c r="C32" s="3">
        <v>16.899999999999999</v>
      </c>
      <c r="D32">
        <v>278</v>
      </c>
      <c r="E32" s="5">
        <f t="shared" si="0"/>
        <v>4698.2</v>
      </c>
      <c r="F32">
        <f t="shared" si="1"/>
        <v>328.87400000000002</v>
      </c>
    </row>
    <row r="33" spans="1:6" x14ac:dyDescent="0.25">
      <c r="A33">
        <v>32</v>
      </c>
      <c r="B33" t="s">
        <v>25</v>
      </c>
      <c r="C33" s="3">
        <v>14.8</v>
      </c>
      <c r="D33">
        <v>48</v>
      </c>
      <c r="E33" s="5">
        <f t="shared" si="0"/>
        <v>710.40000000000009</v>
      </c>
      <c r="F33">
        <f t="shared" si="1"/>
        <v>49.728000000000009</v>
      </c>
    </row>
    <row r="34" spans="1:6" x14ac:dyDescent="0.25">
      <c r="A34">
        <v>33</v>
      </c>
      <c r="B34" t="s">
        <v>26</v>
      </c>
      <c r="C34" s="3">
        <v>17.600000000000001</v>
      </c>
      <c r="D34">
        <v>58</v>
      </c>
      <c r="E34" s="5">
        <f t="shared" si="0"/>
        <v>1020.8000000000001</v>
      </c>
      <c r="F34">
        <f t="shared" si="1"/>
        <v>71.456000000000017</v>
      </c>
    </row>
    <row r="35" spans="1:6" x14ac:dyDescent="0.25">
      <c r="A35">
        <v>34</v>
      </c>
      <c r="B35" t="s">
        <v>27</v>
      </c>
      <c r="C35" s="3">
        <v>18.100000000000001</v>
      </c>
      <c r="D35">
        <v>57</v>
      </c>
      <c r="E35" s="5">
        <f t="shared" si="0"/>
        <v>1031.7</v>
      </c>
      <c r="F35">
        <f t="shared" si="1"/>
        <v>72.219000000000008</v>
      </c>
    </row>
    <row r="36" spans="1:6" x14ac:dyDescent="0.25">
      <c r="A36">
        <v>35</v>
      </c>
      <c r="B36" t="s">
        <v>28</v>
      </c>
      <c r="C36" s="3">
        <v>13.7</v>
      </c>
      <c r="D36">
        <v>58</v>
      </c>
      <c r="E36" s="5">
        <f t="shared" si="0"/>
        <v>794.59999999999991</v>
      </c>
      <c r="F36">
        <f t="shared" si="1"/>
        <v>55.622</v>
      </c>
    </row>
    <row r="37" spans="1:6" x14ac:dyDescent="0.25">
      <c r="A37">
        <v>36</v>
      </c>
      <c r="B37" t="s">
        <v>29</v>
      </c>
      <c r="C37" s="3">
        <v>18.7</v>
      </c>
      <c r="D37">
        <v>38</v>
      </c>
      <c r="E37" s="5">
        <f t="shared" si="0"/>
        <v>710.6</v>
      </c>
      <c r="F37">
        <f t="shared" si="1"/>
        <v>49.742000000000004</v>
      </c>
    </row>
    <row r="38" spans="1:6" x14ac:dyDescent="0.25">
      <c r="A38">
        <v>37</v>
      </c>
      <c r="B38" t="s">
        <v>30</v>
      </c>
      <c r="C38" s="3">
        <v>15.7</v>
      </c>
      <c r="D38">
        <v>48</v>
      </c>
      <c r="E38" s="5">
        <f t="shared" si="0"/>
        <v>753.59999999999991</v>
      </c>
      <c r="F38">
        <f t="shared" si="1"/>
        <v>52.751999999999995</v>
      </c>
    </row>
    <row r="39" spans="1:6" x14ac:dyDescent="0.25">
      <c r="A39">
        <v>38</v>
      </c>
      <c r="B39" t="s">
        <v>31</v>
      </c>
      <c r="C39" s="3">
        <v>16.7</v>
      </c>
      <c r="D39">
        <v>83</v>
      </c>
      <c r="E39" s="5">
        <f t="shared" si="0"/>
        <v>1386.1</v>
      </c>
      <c r="F39">
        <f t="shared" si="1"/>
        <v>97.027000000000001</v>
      </c>
    </row>
    <row r="40" spans="1:6" x14ac:dyDescent="0.25">
      <c r="A40">
        <v>39</v>
      </c>
      <c r="B40" t="s">
        <v>32</v>
      </c>
      <c r="C40" s="3">
        <v>16.8</v>
      </c>
      <c r="D40">
        <v>64</v>
      </c>
      <c r="E40" s="5">
        <f t="shared" si="0"/>
        <v>1075.2</v>
      </c>
      <c r="F40">
        <f t="shared" si="1"/>
        <v>75.26400000000001</v>
      </c>
    </row>
    <row r="41" spans="1:6" x14ac:dyDescent="0.25">
      <c r="A41">
        <v>40</v>
      </c>
      <c r="B41" t="s">
        <v>33</v>
      </c>
      <c r="C41" s="3">
        <v>18.899999999999999</v>
      </c>
      <c r="D41">
        <v>287</v>
      </c>
      <c r="E41" s="5">
        <f t="shared" si="0"/>
        <v>5424.2999999999993</v>
      </c>
      <c r="F41">
        <f t="shared" si="1"/>
        <v>379.70099999999996</v>
      </c>
    </row>
    <row r="42" spans="1:6" x14ac:dyDescent="0.25">
      <c r="A42">
        <v>41</v>
      </c>
      <c r="B42" t="s">
        <v>34</v>
      </c>
      <c r="C42" s="3">
        <v>15.6</v>
      </c>
      <c r="D42">
        <v>37</v>
      </c>
      <c r="E42" s="5">
        <f t="shared" si="0"/>
        <v>577.19999999999993</v>
      </c>
      <c r="F42">
        <f t="shared" si="1"/>
        <v>40.403999999999996</v>
      </c>
    </row>
    <row r="43" spans="1:6" x14ac:dyDescent="0.25">
      <c r="A43">
        <v>42</v>
      </c>
      <c r="B43" t="s">
        <v>35</v>
      </c>
      <c r="C43" s="3">
        <v>14.6</v>
      </c>
      <c r="D43">
        <v>309</v>
      </c>
      <c r="E43" s="5">
        <f t="shared" si="0"/>
        <v>4511.3999999999996</v>
      </c>
      <c r="F43">
        <f t="shared" si="1"/>
        <v>315.798</v>
      </c>
    </row>
    <row r="44" spans="1:6" x14ac:dyDescent="0.25">
      <c r="A44">
        <v>43</v>
      </c>
      <c r="B44" t="s">
        <v>36</v>
      </c>
      <c r="C44" s="3">
        <v>15.6</v>
      </c>
      <c r="D44">
        <v>45</v>
      </c>
      <c r="E44" s="5">
        <f t="shared" si="0"/>
        <v>702</v>
      </c>
      <c r="F44">
        <f t="shared" si="1"/>
        <v>49.140000000000008</v>
      </c>
    </row>
    <row r="45" spans="1:6" x14ac:dyDescent="0.25">
      <c r="A45">
        <v>44</v>
      </c>
      <c r="B45" t="s">
        <v>37</v>
      </c>
      <c r="C45" s="3">
        <v>15.5</v>
      </c>
      <c r="D45">
        <v>26</v>
      </c>
      <c r="E45" s="5">
        <f t="shared" si="0"/>
        <v>403</v>
      </c>
      <c r="F45">
        <f t="shared" si="1"/>
        <v>28.210000000000004</v>
      </c>
    </row>
    <row r="46" spans="1:6" x14ac:dyDescent="0.25">
      <c r="A46">
        <v>45</v>
      </c>
      <c r="B46" t="s">
        <v>38</v>
      </c>
      <c r="C46" s="3">
        <v>15.5</v>
      </c>
      <c r="D46">
        <v>45</v>
      </c>
      <c r="E46" s="5">
        <f t="shared" si="0"/>
        <v>697.5</v>
      </c>
      <c r="F46">
        <f t="shared" si="1"/>
        <v>48.825000000000003</v>
      </c>
    </row>
    <row r="47" spans="1:6" x14ac:dyDescent="0.25">
      <c r="A47">
        <v>46</v>
      </c>
      <c r="B47" t="s">
        <v>39</v>
      </c>
      <c r="C47" s="3">
        <v>15.8</v>
      </c>
      <c r="D47">
        <v>7</v>
      </c>
      <c r="E47" s="5">
        <f t="shared" si="0"/>
        <v>110.60000000000001</v>
      </c>
      <c r="F47">
        <f t="shared" si="1"/>
        <v>7.7420000000000018</v>
      </c>
    </row>
    <row r="48" spans="1:6" x14ac:dyDescent="0.25">
      <c r="A48">
        <v>47</v>
      </c>
      <c r="B48" t="s">
        <v>40</v>
      </c>
      <c r="C48" s="3">
        <v>12.4</v>
      </c>
      <c r="D48">
        <v>56</v>
      </c>
      <c r="E48" s="5">
        <f t="shared" si="0"/>
        <v>694.4</v>
      </c>
      <c r="F48">
        <f t="shared" si="1"/>
        <v>48.608000000000004</v>
      </c>
    </row>
    <row r="49" spans="1:6" x14ac:dyDescent="0.25">
      <c r="A49">
        <v>48</v>
      </c>
      <c r="B49" t="s">
        <v>41</v>
      </c>
      <c r="C49" s="3">
        <v>10.75</v>
      </c>
      <c r="D49">
        <v>65</v>
      </c>
      <c r="E49" s="5">
        <f t="shared" si="0"/>
        <v>698.75</v>
      </c>
      <c r="F49">
        <f t="shared" si="1"/>
        <v>48.912500000000001</v>
      </c>
    </row>
    <row r="50" spans="1:6" x14ac:dyDescent="0.25">
      <c r="A50">
        <v>49</v>
      </c>
      <c r="B50" t="s">
        <v>42</v>
      </c>
      <c r="C50" s="3">
        <v>10.43</v>
      </c>
      <c r="D50">
        <v>56</v>
      </c>
      <c r="E50" s="5">
        <f t="shared" si="0"/>
        <v>584.07999999999993</v>
      </c>
      <c r="F50">
        <f t="shared" si="1"/>
        <v>40.885599999999997</v>
      </c>
    </row>
    <row r="51" spans="1:6" x14ac:dyDescent="0.25">
      <c r="A51">
        <v>50</v>
      </c>
      <c r="B51" t="s">
        <v>43</v>
      </c>
      <c r="C51" s="3">
        <v>13.7</v>
      </c>
      <c r="D51">
        <v>75</v>
      </c>
      <c r="E51" s="5">
        <f t="shared" si="0"/>
        <v>1027.5</v>
      </c>
      <c r="F51">
        <f t="shared" si="1"/>
        <v>71.925000000000011</v>
      </c>
    </row>
    <row r="52" spans="1:6" x14ac:dyDescent="0.25">
      <c r="A52">
        <v>51</v>
      </c>
      <c r="B52" t="s">
        <v>44</v>
      </c>
      <c r="C52" s="3">
        <v>13.8</v>
      </c>
      <c r="D52">
        <v>4</v>
      </c>
      <c r="E52" s="5">
        <f t="shared" si="0"/>
        <v>55.2</v>
      </c>
      <c r="F52">
        <f t="shared" si="1"/>
        <v>3.8640000000000008</v>
      </c>
    </row>
    <row r="53" spans="1:6" x14ac:dyDescent="0.25">
      <c r="A53">
        <v>52</v>
      </c>
      <c r="B53" t="s">
        <v>45</v>
      </c>
      <c r="C53" s="3">
        <v>15.5</v>
      </c>
      <c r="D53">
        <v>65</v>
      </c>
      <c r="E53" s="5">
        <f t="shared" si="0"/>
        <v>1007.5</v>
      </c>
      <c r="F53">
        <f t="shared" si="1"/>
        <v>70.525000000000006</v>
      </c>
    </row>
    <row r="54" spans="1:6" x14ac:dyDescent="0.25">
      <c r="A54">
        <v>53</v>
      </c>
      <c r="B54" t="s">
        <v>46</v>
      </c>
      <c r="C54" s="3">
        <v>18</v>
      </c>
      <c r="D54">
        <v>13</v>
      </c>
      <c r="E54" s="5">
        <f t="shared" si="0"/>
        <v>234</v>
      </c>
      <c r="F54">
        <f t="shared" si="1"/>
        <v>16.380000000000003</v>
      </c>
    </row>
    <row r="55" spans="1:6" x14ac:dyDescent="0.25">
      <c r="A55">
        <v>54</v>
      </c>
      <c r="B55" t="s">
        <v>47</v>
      </c>
      <c r="C55" s="3">
        <v>17</v>
      </c>
      <c r="D55">
        <v>6</v>
      </c>
      <c r="E55" s="5">
        <f t="shared" si="0"/>
        <v>102</v>
      </c>
      <c r="F55">
        <f t="shared" si="1"/>
        <v>7.1400000000000006</v>
      </c>
    </row>
    <row r="56" spans="1:6" x14ac:dyDescent="0.25">
      <c r="A56">
        <v>55</v>
      </c>
      <c r="B56" t="s">
        <v>48</v>
      </c>
      <c r="C56" s="3">
        <v>13</v>
      </c>
      <c r="D56">
        <v>14</v>
      </c>
      <c r="E56" s="5">
        <f t="shared" si="0"/>
        <v>182</v>
      </c>
      <c r="F56">
        <f t="shared" si="1"/>
        <v>12.740000000000002</v>
      </c>
    </row>
    <row r="57" spans="1:6" x14ac:dyDescent="0.25">
      <c r="A57">
        <v>56</v>
      </c>
      <c r="B57" t="s">
        <v>49</v>
      </c>
      <c r="C57" s="3">
        <v>16</v>
      </c>
      <c r="D57">
        <v>166</v>
      </c>
      <c r="E57" s="5">
        <f t="shared" si="0"/>
        <v>2656</v>
      </c>
      <c r="F57">
        <f t="shared" si="1"/>
        <v>185.92000000000002</v>
      </c>
    </row>
    <row r="58" spans="1:6" x14ac:dyDescent="0.25">
      <c r="A58">
        <v>57</v>
      </c>
      <c r="B58" t="s">
        <v>50</v>
      </c>
      <c r="C58" s="3">
        <v>14</v>
      </c>
      <c r="D58">
        <v>156</v>
      </c>
      <c r="E58" s="5">
        <f t="shared" si="0"/>
        <v>2184</v>
      </c>
      <c r="F58">
        <f t="shared" si="1"/>
        <v>152.88000000000002</v>
      </c>
    </row>
    <row r="59" spans="1:6" x14ac:dyDescent="0.25">
      <c r="A59">
        <v>58</v>
      </c>
      <c r="B59" t="s">
        <v>51</v>
      </c>
      <c r="C59" s="3">
        <v>15.5</v>
      </c>
      <c r="D59">
        <v>37</v>
      </c>
      <c r="E59" s="5">
        <f t="shared" si="0"/>
        <v>573.5</v>
      </c>
      <c r="F59">
        <f t="shared" si="1"/>
        <v>40.145000000000003</v>
      </c>
    </row>
    <row r="60" spans="1:6" x14ac:dyDescent="0.25">
      <c r="A60">
        <v>59</v>
      </c>
      <c r="B60" t="s">
        <v>52</v>
      </c>
      <c r="C60" s="3">
        <v>15.5</v>
      </c>
      <c r="D60">
        <v>78</v>
      </c>
      <c r="E60" s="5">
        <f t="shared" si="0"/>
        <v>1209</v>
      </c>
      <c r="F60">
        <f t="shared" si="1"/>
        <v>84.63000000000001</v>
      </c>
    </row>
    <row r="61" spans="1:6" x14ac:dyDescent="0.25">
      <c r="A61">
        <v>60</v>
      </c>
      <c r="B61" t="s">
        <v>53</v>
      </c>
      <c r="C61" s="3">
        <v>18</v>
      </c>
      <c r="D61">
        <v>86</v>
      </c>
      <c r="E61" s="5">
        <f t="shared" si="0"/>
        <v>1548</v>
      </c>
      <c r="F61">
        <f t="shared" si="1"/>
        <v>108.36000000000001</v>
      </c>
    </row>
    <row r="62" spans="1:6" x14ac:dyDescent="0.25">
      <c r="A62">
        <v>61</v>
      </c>
      <c r="B62" t="s">
        <v>54</v>
      </c>
      <c r="C62" s="3">
        <v>19</v>
      </c>
      <c r="D62">
        <v>58</v>
      </c>
      <c r="E62" s="5">
        <f t="shared" si="0"/>
        <v>1102</v>
      </c>
      <c r="F62">
        <f t="shared" si="1"/>
        <v>77.14</v>
      </c>
    </row>
    <row r="63" spans="1:6" x14ac:dyDescent="0.25">
      <c r="A63">
        <v>62</v>
      </c>
      <c r="B63" t="s">
        <v>55</v>
      </c>
      <c r="C63" s="3">
        <v>15.5</v>
      </c>
      <c r="D63">
        <v>80</v>
      </c>
      <c r="E63" s="5">
        <f t="shared" si="0"/>
        <v>1240</v>
      </c>
      <c r="F63">
        <f t="shared" si="1"/>
        <v>86.800000000000011</v>
      </c>
    </row>
    <row r="64" spans="1:6" x14ac:dyDescent="0.25">
      <c r="A64">
        <v>63</v>
      </c>
      <c r="B64" t="s">
        <v>56</v>
      </c>
      <c r="C64" s="3">
        <v>13.87</v>
      </c>
      <c r="D64">
        <v>56</v>
      </c>
      <c r="E64" s="5">
        <f t="shared" si="0"/>
        <v>776.71999999999991</v>
      </c>
      <c r="F64">
        <f t="shared" si="1"/>
        <v>54.370399999999997</v>
      </c>
    </row>
    <row r="65" spans="1:6" x14ac:dyDescent="0.25">
      <c r="A65">
        <v>64</v>
      </c>
      <c r="B65" t="s">
        <v>57</v>
      </c>
      <c r="C65" s="3">
        <v>16.899999999999999</v>
      </c>
      <c r="D65">
        <v>87</v>
      </c>
      <c r="E65" s="5">
        <f t="shared" si="0"/>
        <v>1470.3</v>
      </c>
      <c r="F65">
        <f t="shared" si="1"/>
        <v>102.92100000000001</v>
      </c>
    </row>
    <row r="66" spans="1:6" x14ac:dyDescent="0.25">
      <c r="A66">
        <v>65</v>
      </c>
      <c r="B66" t="s">
        <v>58</v>
      </c>
      <c r="C66" s="3">
        <v>14.9</v>
      </c>
      <c r="D66">
        <v>86</v>
      </c>
      <c r="E66" s="5">
        <f t="shared" si="0"/>
        <v>1281.4000000000001</v>
      </c>
      <c r="F66">
        <f t="shared" si="1"/>
        <v>89.698000000000022</v>
      </c>
    </row>
    <row r="67" spans="1:6" x14ac:dyDescent="0.25">
      <c r="A67">
        <v>66</v>
      </c>
      <c r="B67" t="s">
        <v>59</v>
      </c>
      <c r="C67" s="3">
        <v>13.7</v>
      </c>
      <c r="D67">
        <v>98</v>
      </c>
      <c r="E67" s="5">
        <f t="shared" ref="E67:E71" si="2">C67*D67</f>
        <v>1342.6</v>
      </c>
      <c r="F67">
        <f t="shared" ref="F67:F71" si="3">E67*$H$1</f>
        <v>93.981999999999999</v>
      </c>
    </row>
    <row r="68" spans="1:6" x14ac:dyDescent="0.25">
      <c r="A68">
        <v>67</v>
      </c>
      <c r="B68" t="s">
        <v>60</v>
      </c>
      <c r="C68" s="3">
        <v>18.899999999999999</v>
      </c>
      <c r="D68">
        <v>68</v>
      </c>
      <c r="E68" s="5">
        <f t="shared" si="2"/>
        <v>1285.1999999999998</v>
      </c>
      <c r="F68">
        <f t="shared" si="3"/>
        <v>89.963999999999999</v>
      </c>
    </row>
    <row r="69" spans="1:6" x14ac:dyDescent="0.25">
      <c r="A69">
        <v>68</v>
      </c>
      <c r="B69" t="s">
        <v>61</v>
      </c>
      <c r="C69" s="3">
        <v>15</v>
      </c>
      <c r="D69">
        <v>87</v>
      </c>
      <c r="E69" s="5">
        <f t="shared" si="2"/>
        <v>1305</v>
      </c>
      <c r="F69">
        <f t="shared" si="3"/>
        <v>91.350000000000009</v>
      </c>
    </row>
    <row r="70" spans="1:6" x14ac:dyDescent="0.25">
      <c r="A70">
        <v>69</v>
      </c>
      <c r="B70" t="s">
        <v>62</v>
      </c>
      <c r="C70" s="3">
        <v>15.5</v>
      </c>
      <c r="D70">
        <v>98</v>
      </c>
      <c r="E70" s="5">
        <f t="shared" si="2"/>
        <v>1519</v>
      </c>
      <c r="F70">
        <f t="shared" si="3"/>
        <v>106.33000000000001</v>
      </c>
    </row>
    <row r="71" spans="1:6" x14ac:dyDescent="0.25">
      <c r="A71">
        <v>70</v>
      </c>
      <c r="B71" t="s">
        <v>63</v>
      </c>
      <c r="C71" s="3">
        <v>13.8</v>
      </c>
      <c r="D71">
        <v>87</v>
      </c>
      <c r="E71" s="5">
        <f t="shared" si="2"/>
        <v>1200.6000000000001</v>
      </c>
      <c r="F71">
        <f t="shared" si="3"/>
        <v>84.042000000000016</v>
      </c>
    </row>
    <row r="72" spans="1:6" x14ac:dyDescent="0.25">
      <c r="C72" s="4" t="s">
        <v>75</v>
      </c>
      <c r="D72">
        <f>SUM(D2:D71)</f>
        <v>6250</v>
      </c>
      <c r="E72" s="5">
        <f>SUM(E2:E71)</f>
        <v>96644.749999999985</v>
      </c>
      <c r="F72">
        <f>SUM(F2:F71)</f>
        <v>6765.1325000000024</v>
      </c>
    </row>
    <row r="73" spans="1:6" x14ac:dyDescent="0.25">
      <c r="C73" s="4" t="s">
        <v>76</v>
      </c>
      <c r="D73">
        <f>AVERAGE(D2:D71)</f>
        <v>89.285714285714292</v>
      </c>
      <c r="E73" s="5">
        <f>AVERAGE(E2:E71)</f>
        <v>1380.6392857142855</v>
      </c>
      <c r="F73">
        <f>AVERAGE(F2:F71)</f>
        <v>96.64475000000003</v>
      </c>
    </row>
    <row r="74" spans="1:6" x14ac:dyDescent="0.25">
      <c r="C74" s="4" t="s">
        <v>79</v>
      </c>
      <c r="D74">
        <f>MAX(D2:D71)</f>
        <v>377</v>
      </c>
      <c r="E74" s="5">
        <f t="shared" ref="E74:F74" si="4">MAX(E2:E71)</f>
        <v>6037.5</v>
      </c>
      <c r="F74">
        <f t="shared" si="4"/>
        <v>422.62500000000006</v>
      </c>
    </row>
    <row r="75" spans="1:6" x14ac:dyDescent="0.25">
      <c r="C75" s="4" t="s">
        <v>80</v>
      </c>
      <c r="D75">
        <f>MIN(D2:D71)</f>
        <v>4</v>
      </c>
      <c r="E75" s="5">
        <f t="shared" ref="E75:F75" si="5">MIN(E2:E71)</f>
        <v>48</v>
      </c>
      <c r="F75">
        <f t="shared" si="5"/>
        <v>3.3600000000000003</v>
      </c>
    </row>
    <row r="76" spans="1:6" x14ac:dyDescent="0.25">
      <c r="B76" s="1"/>
      <c r="C76" s="4" t="s">
        <v>81</v>
      </c>
      <c r="D76">
        <f>COUNT(D2:D71)</f>
        <v>70</v>
      </c>
      <c r="E76" s="5">
        <f t="shared" ref="E76:F76" si="6">COUNT(E2:E71)</f>
        <v>70</v>
      </c>
      <c r="F76">
        <f t="shared" si="6"/>
        <v>70</v>
      </c>
    </row>
    <row r="77" spans="1:6" x14ac:dyDescent="0.25">
      <c r="B77" s="2"/>
      <c r="C77" s="4"/>
    </row>
  </sheetData>
  <pageMargins left="1" right="1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F8C6-446C-4F15-B8FF-DF6F71DE44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Dancan Muimi</dc:creator>
  <cp:lastModifiedBy>Dancan Muimi</cp:lastModifiedBy>
  <cp:lastPrinted>2026-04-15T18:14:25Z</cp:lastPrinted>
  <dcterms:created xsi:type="dcterms:W3CDTF">2026-04-12T09:31:36Z</dcterms:created>
  <dcterms:modified xsi:type="dcterms:W3CDTF">2026-04-15T18:16:58Z</dcterms:modified>
</cp:coreProperties>
</file>